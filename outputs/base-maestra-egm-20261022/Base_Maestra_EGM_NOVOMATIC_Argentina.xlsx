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se maestra" sheetId="1" r:id="rId1"/>
  </sheets>
  <calcPr calcId="191029" calcMode="auto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sz val="10"/>
      <name val="Arial"/>
      <family val="2"/>
      <color rgb="FF243247"/>
    </font>
    <font>
      <b/>
      <sz val="15"/>
      <name val="Arial"/>
      <family val="2"/>
      <color rgb="FF14253F"/>
    </font>
    <font>
      <sz val="10"/>
      <name val="Arial"/>
      <family val="2"/>
      <color rgb="FF778399"/>
      <i/>
    </font>
    <font>
      <b/>
      <sz val="10"/>
      <name val="Arial"/>
      <family val="2"/>
      <color rgb="FF243247"/>
    </font>
  </fonts>
  <fills count="4">
    <fill>
      <patternFill patternType="none"/>
    </fill>
    <fill>
      <patternFill patternType="gray125"/>
    </fill>
    <fill>
      <patternFill patternType="solid">
        <fgColor rgb="FF14253F"/>
        <bgColor indexed="64"/>
      </patternFill>
    </fill>
    <fill>
      <patternFill patternType="solid">
        <fgColor rgb="FFEAF0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7DFE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9"/>
  <cols>
    <col min="1" max="1" width="38" customWidth="1"/>
    <col min="2" max="2" width="15" customWidth="1"/>
    <col min="3" max="3" width="50" customWidth="1"/>
    <col min="4" max="4" width="65" customWidth="1"/>
  </cols>
  <sheetData>
    <row r="1" ht="26" customHeight="1">
      <c r="A1" s="1" t="inlineStr">
        <is>
          <t xml:space="preserve">Base Maestra EGM · NOVOMATIC Argentina</t>
        </is>
      </c>
    </row>
    <row r="2" ht="20" customHeight="1">
      <c r="A2" s="2" t="inlineStr">
        <is>
          <t xml:space="preserve">Fuente: Base_Maestra_EGM_Actualizada_2026-09-26.xlsx</t>
        </is>
      </c>
    </row>
    <row r="4" ht="22" customHeight="1">
      <c r="A4" s="3" t="inlineStr">
        <is>
          <t xml:space="preserve">Estado EGM</t>
        </is>
      </c>
      <c r="B4" s="3" t="inlineStr">
        <is>
          <t xml:space="preserve">Cantidad</t>
        </is>
      </c>
      <c r="C4" s="3" t="inlineStr">
        <is>
          <t xml:space="preserve">% del total</t>
        </is>
      </c>
      <c r="D4" s="3" t="inlineStr">
        <is>
          <t xml:space="preserve">Nota</t>
        </is>
      </c>
    </row>
    <row r="5">
      <c r="A5" s="0" t="inlineStr">
        <is>
          <t xml:space="preserve">Operativas</t>
        </is>
      </c>
      <c r="B5" s="4">
        <v>96</v>
      </c>
      <c r="C5" s="5">
        <f>B5/$B$8</f>
        <v>0.3555555556</v>
      </c>
      <c r="D5" s="0" t="inlineStr">
        <is>
          <t xml:space="preserve">Cantidad de referencia</t>
        </is>
      </c>
    </row>
    <row r="6">
      <c r="A6" s="0" t="inlineStr">
        <is>
          <t xml:space="preserve">Asignadas</t>
        </is>
      </c>
      <c r="B6" s="4">
        <v>22</v>
      </c>
      <c r="C6" s="5">
        <f>B6/$B$8</f>
        <v>0.0814814815</v>
      </c>
      <c r="D6" s="0" t="inlineStr">
        <is>
          <t xml:space="preserve">Cantidad de referencia</t>
        </is>
      </c>
    </row>
    <row r="7">
      <c r="A7" s="0" t="inlineStr">
        <is>
          <t xml:space="preserve">En stock</t>
        </is>
      </c>
      <c r="B7" s="4">
        <v>152</v>
      </c>
      <c r="C7" s="5">
        <f>B7/$B$8</f>
        <v>0.5629629630</v>
      </c>
      <c r="D7" s="8" t="inlineStr">
        <is>
          <t xml:space="preserve">Incluye 32 sin destino y 120 nuevos ingresos a stock EGM</t>
        </is>
      </c>
    </row>
    <row r="8">
      <c r="A8" s="9" t="inlineStr">
        <is>
          <t xml:space="preserve">Total EGM</t>
        </is>
      </c>
      <c r="B8" s="6">
        <f>SUM(B5:B7)</f>
        <v>270</v>
      </c>
      <c r="C8" s="10">
        <f>SUM(C5:C7)</f>
        <v>1</v>
      </c>
      <c r="D8" s="9" t="inlineStr">
        <is>
          <t xml:space="preserve">Control: 96 + 22 + 152 = 270</t>
        </is>
      </c>
    </row>
    <row r="10" ht="22" customHeight="1">
      <c r="A10" s="7" t="inlineStr">
        <is>
          <t xml:space="preserve">Conteos relacionados y conciliación</t>
        </is>
      </c>
    </row>
    <row r="11" ht="22" customHeight="1">
      <c r="A11" s="3" t="inlineStr">
        <is>
          <t xml:space="preserve">Elemento</t>
        </is>
      </c>
      <c r="B11" s="3" t="inlineStr">
        <is>
          <t xml:space="preserve">Cantidad</t>
        </is>
      </c>
      <c r="C11" s="3" t="inlineStr">
        <is>
          <t xml:space="preserve">Tratamiento</t>
        </is>
      </c>
    </row>
    <row r="12">
      <c r="A12" s="0" t="inlineStr">
        <is>
          <t xml:space="preserve">FV837E · Stock EGM</t>
        </is>
      </c>
      <c r="B12" s="4">
        <v>24</v>
      </c>
      <c r="C12" s="8" t="inlineStr">
        <is>
          <t xml:space="preserve">8 en preparación Pack Ruby + 16 sin destino</t>
        </is>
      </c>
    </row>
    <row r="13">
      <c r="A13" s="0" t="inlineStr">
        <is>
          <t xml:space="preserve">Upgrades de Casino Club</t>
        </is>
      </c>
      <c r="B13" s="4">
        <v>8</v>
      </c>
      <c r="C13" s="8" t="inlineStr">
        <is>
          <t xml:space="preserve">Upgrade existente; fecha 23/09/2026; no sumar como máquina nueva</t>
        </is>
      </c>
    </row>
    <row r="14">
      <c r="A14" s="0" t="inlineStr">
        <is>
          <t xml:space="preserve">Equipos no EGM</t>
        </is>
      </c>
      <c r="B14" s="4">
        <v>2</v>
      </c>
      <c r="C14" s="8" t="inlineStr">
        <is>
          <t xml:space="preserve">Se muestran aparte; excluidos de las 270 EGM</t>
        </is>
      </c>
    </row>
    <row r="15">
      <c r="A15" s="9" t="inlineStr">
        <is>
          <t xml:space="preserve">Stock General</t>
        </is>
      </c>
      <c r="B15" s="6">
        <v>176</v>
      </c>
      <c r="C15" s="8" t="inlineStr">
        <is>
          <t xml:space="preserve">Incluye 152 EGM + 22 asignadas pendientes + 2 no EGM</t>
        </is>
      </c>
    </row>
    <row r="16" ht="22" customHeight="1">
      <c r="A16" s="7" t="inlineStr">
        <is>
          <t xml:space="preserve">Discrepancias y límites de la fuente</t>
        </is>
      </c>
    </row>
    <row r="17" ht="34" customHeight="1">
      <c r="A17" s="8" t="inlineStr">
        <is>
          <t xml:space="preserve">Stock General = 176: 152 EGM en stock + 22 asignadas pendientes de instalación + 2 equipos no EGM.</t>
        </is>
      </c>
    </row>
    <row r="18" ht="72" customHeight="1">
      <c r="A18" s="8" t="inlineStr">
        <is>
          <t xml:space="preserve">La fuente menciona 8 FV640C de Casino Club ya instaladas y actualizadas, pero no las reconcilia con las 270 EGM ni con las 96 operativas detalladas. No sumarlas hasta validar su inclusión. Además, V.I.P. X Galaxy figura como Gaming cabinet en Stock_General y se incluye en stock EGM en Resumen.</t>
        </is>
      </c>
    </row>
  </sheetData>
  <autoFilter ref="A4:D8"/>
  <pageMargins left="0.3" right="0.3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Base Maestra EGM - NOVOMATIC Argentina</dc:title>
  <dc:subject>Resumen de cantidades de referencia</dc:subject>
  <dc:creator>NOVOMATIC Argentina</dc:creator>
</cp:coreProperties>
</file>